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irt/MY_DOCUMENTS/01_AIOPS/01_CODE/ibm-aiops-deployer_dev_latest/doc/servicenow/"/>
    </mc:Choice>
  </mc:AlternateContent>
  <xr:revisionPtr revIDLastSave="0" documentId="8_{DE3645CA-F75A-6148-A2E6-A325E284BD00}" xr6:coauthVersionLast="47" xr6:coauthVersionMax="47" xr10:uidLastSave="{00000000-0000-0000-0000-000000000000}"/>
  <bookViews>
    <workbookView xWindow="880" yWindow="800" windowWidth="35120" windowHeight="22580" activeTab="1" xr2:uid="{8F2776DE-67C7-AA4D-83C4-7442A45913F1}"/>
  </bookViews>
  <sheets>
    <sheet name="import_incidents_new_GIT (2)" sheetId="2" r:id="rId1"/>
    <sheet name="Sheet2" sheetId="3" r:id="rId2"/>
    <sheet name="import_incidents_new_GIT" sheetId="1" r:id="rId3"/>
  </sheets>
  <calcPr calcId="0"/>
</workbook>
</file>

<file path=xl/calcChain.xml><?xml version="1.0" encoding="utf-8"?>
<calcChain xmlns="http://schemas.openxmlformats.org/spreadsheetml/2006/main">
  <c r="C21" i="2" l="1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B3" i="2"/>
  <c r="C2" i="2"/>
  <c r="B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C2" i="1"/>
  <c r="B2" i="1"/>
</calcChain>
</file>

<file path=xl/sharedStrings.xml><?xml version="1.0" encoding="utf-8"?>
<sst xmlns="http://schemas.openxmlformats.org/spreadsheetml/2006/main" count="332" uniqueCount="50">
  <si>
    <t>number</t>
  </si>
  <si>
    <t>title</t>
  </si>
  <si>
    <t>body</t>
  </si>
  <si>
    <t>closed_at</t>
  </si>
  <si>
    <t>state</t>
  </si>
  <si>
    <t>created_at</t>
  </si>
  <si>
    <t>Short description</t>
  </si>
  <si>
    <t>Description</t>
  </si>
  <si>
    <t>Work notes</t>
  </si>
  <si>
    <t>Resolution notes</t>
  </si>
  <si>
    <t>closed</t>
  </si>
  <si>
    <t>RobotShop call rate is too high - RobotShop call rate stays at a high level for an extended period of time</t>
  </si>
  <si>
    <t>Ratings are not displayed anymore after a GIT Commit by DEV.
Predictive Insights indicates an anomaly with MySQL memory peak usage. 
Could be memory leak or a code change in the GIT Commit?.</t>
  </si>
  <si>
    <t>__ Checked GIT Commit - a massive reduction in innodb_buffer_pool_size has been commited by DEV on the /etc/my.cnf file
_ Check with DEV to adapt GIT Commit</t>
  </si>
  <si>
    <t>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t>
  </si>
  <si>
    <t>RobotShop sudden increase in the number of erroneous calls - This can be a sign of a problem on one side of the connection</t>
  </si>
  <si>
    <t>Sudden increase in the number of erroneous calls - This can be a sign of a problem on one side of the connection</t>
  </si>
  <si>
    <t>Commit in repository robot-shop by Niklaus Hirt on file robot-shop.yaml - New Memory Limits</t>
  </si>
  <si>
    <t>MySQL - change detected - The value **resources/limits** has changed</t>
  </si>
  <si>
    <t>MySQL - K8s Deployment Modified</t>
  </si>
  <si>
    <t>MySQL K8s Pod Created</t>
  </si>
  <si>
    <t>MySQL memory peak usage anomaly</t>
  </si>
  <si>
    <t>Robotshop Homepage - Functional verification failed</t>
  </si>
  <si>
    <t>Ratings Service outage after K8s Node Failure</t>
  </si>
  <si>
    <t>MySQL - available replicas is less than desired replicas - Check conditions and error events</t>
  </si>
  <si>
    <t>_ Cause: GIT Commit set the MySQL Deployment Limits too low
      - MySQL Pod is restarting/killed with OoutOfMemory status. 
      - Ratings Pod is unable to access database. 
      - After correction, ratings Pod is unable to pick up the restart and has to be restarted as well. 
_ Resolved by adapting mysql deployment resource limits and restarting ratings pods.
__ Runbook:
      Increase resource limits for mysql Deployment - check with DEV to correct GIT Commit
      oc delete pod -n robot-shop $(oc get po -n robot-shop|grep ratings|awk '{print$1}'</t>
  </si>
  <si>
    <t>Robotshop Homepage call rate is too high- Robotshop call rate stays at a high level for an extended period of time</t>
  </si>
  <si>
    <t>&lt;*&gt; stdout F &lt;*&gt; - - [&lt;*&gt;/May/&lt;*&gt;:&lt;*&gt;:&lt;*&gt;:&lt;*&gt; &lt;*&gt;] &lt;*&gt;</t>
  </si>
  <si>
    <t>vSphere Switch Outage: dcwest1-switch023</t>
  </si>
  <si>
    <t>__ Cause: Switch DCWest1-Switch023 had an short outage.
_ vSphere Switch dcwest1-switch023 - Port1 unavailable
__ Resolved by rebooting the port.</t>
  </si>
  <si>
    <t>_ Cause: Switch DCWest1-Switch023 had an short outage.
- _ vSphere Switch dcwest1-switch023 - Port1 unavailable
- Port1 for MySQL Database unavailable.
- Ratings Pod is unable to restart reliably after MySQL outage. 
- MySQL Pod is in CrashLoopBackoff state and has to be restarted. 
- Ratings Service is unable to pick up the restart and has to be restarted as well. 
_ Resolved by rebooting the port.
__ Runbook:
oc delete pod -n robot-shop $(oc get po -n robot-shop|grep mysql|awk '{print$1}'
oc delete pod -n robot-shop $(oc get po -n robot-shop|grep ratings|awk '{print$1}'</t>
  </si>
  <si>
    <t>Server failure after Fan outage</t>
  </si>
  <si>
    <t>Blade DCWest1-Rack045-DELL3762 is overheating and shutting down.</t>
  </si>
  <si>
    <t>__  Cause: Rack Fan had an outage.
- Blade is overheating and shutting down.
- vSphere Host becomes unavailable.
- K8s node becomes unavailable.
- Ratings Pod is unable to restart reliably after K8s Node outage.
- MySQL Pod is in CrashLoopBackoff state and has to be restarted.
- Ratings Service is unable to pick up the restart and has to be restarted as well.</t>
  </si>
  <si>
    <t>_ Cause: Rack Fan had an outage.
- Blade is overheating and shutting down.
- vSphere Host becomes unavailable.
- K8s node becomes unavailable.
- Ratings Pod is unable to restart reliably after K8s Node outage. 
- MySQL Pod is in CrashLoopBackoff state and has to be restarted. 
- Ratings Service is unable to pick up the restart and has to be restarted as well. 
_ Resolved by replacing the rack fan.
__ Runbook:
oc delete pod -n robot-shop $(oc get po -n robot-shop|grep mysql|awk '{print$1}'
oc delete pod -n robot-shop $(oc get po -n robot-shop|grep ratings|awk '{print$1}'</t>
  </si>
  <si>
    <t>RobotShop call rate is too high - RobotShop call rate stays at a high level for an extended period of timeRatings are not displayed anymore after a GIT Commit by DEV.
Predictive Insights indicates an anomaly with MySQL memory peak usage. 
Could be memory leak or a code change in the GIT Commit?.</t>
  </si>
  <si>
    <t>RobotShop sudden increase in the number of erroneous calls - This can be a sign of a problem on one side of the connectionRatings are not displayed anymore after a GIT Commit by DEV.
Predictive Insights indicates an anomaly with MySQL memory peak usage. 
Could be memory leak or a code change in the GIT Commit?.</t>
  </si>
  <si>
    <t>Sudden increase in the number of erroneous calls - This can be a sign of a problem on one side of the connectionRatings are not displayed anymore after a GIT Commit by DEV.
Predictive Insights indicates an anomaly with MySQL memory peak usage. 
Could be memory leak or a code change in the GIT Commit?.</t>
  </si>
  <si>
    <t>Commit in repository robot-shop by Niklaus Hirt on file robot-shop.yaml - New Memory LimitsCommit in repository robot-shop by Niklaus Hirt on file robot-shop.yaml - New Memory Limits</t>
  </si>
  <si>
    <t>MySQL - change detected - The value **resources/limits** has changedCommit in repository robot-shop by Niklaus Hirt on file robot-shop.yaml - New Memory Limits</t>
  </si>
  <si>
    <t>MySQL - K8s Deployment ModifiedCommit in repository robot-shop by Niklaus Hirt on file robot-shop.yaml - New Memory Limits</t>
  </si>
  <si>
    <t>MySQL K8s Pod CreatedCommit in repository robot-shop by Niklaus Hirt on file robot-shop.yaml - New Memory Limits</t>
  </si>
  <si>
    <t>MySQL memory peak usage anomalyCommit in repository robot-shop by Niklaus Hirt on file robot-shop.yaml - New Memory Limits</t>
  </si>
  <si>
    <t>Robotshop Homepage - Functional verification failedCommit in repository robot-shop by Niklaus Hirt on file robot-shop.yaml - New Memory Limits</t>
  </si>
  <si>
    <t>Ratings Service outage after K8s Node FailureCommit in repository robot-shop by Niklaus Hirt on file robot-shop.yaml - New Memory Limits</t>
  </si>
  <si>
    <t>MySQL - available replicas is less than desired replicas - Check conditions and error eventsCommit in repository robot-shop by Niklaus Hirt on file robot-shop.yaml - New Memory Limits</t>
  </si>
  <si>
    <t>Robotshop Homepage call rate is too high- Robotshop call rate stays at a high level for an extended period of timeCommit in repository robot-shop by Niklaus Hirt on file robot-shop.yaml - New Memory Limits</t>
  </si>
  <si>
    <t>&lt;*&gt; stdout F &lt;*&gt; - - [&lt;*&gt;/May/&lt;*&gt;:&lt;*&gt;:&lt;*&gt;:&lt;*&gt; &lt;*&gt;] &lt;*&gt;Commit in repository robot-shop by Niklaus Hirt on file robot-shop.yaml - New Memory Limits</t>
  </si>
  <si>
    <t>vSphere Switch Outage: dcwest1-switch023vSphere Switch Outage: dcwest1-switch023</t>
  </si>
  <si>
    <t>Server failure after Fan outageBlade DCWest1-Rack045-DELL3762 is overheating and shutting down.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</si>
</sst>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6A8E-A373-8C4B-87BD-099B5E8B27B5}">
  <dimension ref="A1:O21"/>
  <sheetViews>
    <sheetView workbookViewId="0">
      <selection sqref="A1:J1048576"/>
    </sheetView>
  </sheetViews>
  <sheetFormatPr baseColWidth="10" defaultRowHeight="16" x14ac:dyDescent="0.2"/>
  <cols>
    <col min="2" max="2" width="70.1640625" customWidth="1"/>
    <col min="3" max="4" width="55.83203125" customWidth="1"/>
    <col min="6" max="6" width="11.33203125" bestFit="1" customWidth="1"/>
    <col min="9" max="9" width="101" bestFit="1" customWidth="1"/>
    <col min="10" max="10" width="76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E1" t="s">
        <v>5</v>
      </c>
      <c r="F1" t="s">
        <v>3</v>
      </c>
      <c r="G1" t="s">
        <v>4</v>
      </c>
      <c r="I1" t="s">
        <v>6</v>
      </c>
      <c r="J1" t="s">
        <v>7</v>
      </c>
      <c r="K1" t="s">
        <v>8</v>
      </c>
      <c r="L1" t="s">
        <v>9</v>
      </c>
      <c r="M1" t="s">
        <v>3</v>
      </c>
      <c r="N1" t="s">
        <v>4</v>
      </c>
      <c r="O1" t="s">
        <v>1</v>
      </c>
    </row>
    <row r="2" spans="1:15" ht="409.6" x14ac:dyDescent="0.2">
      <c r="A2">
        <v>1</v>
      </c>
      <c r="B2" t="str">
        <f>I2</f>
        <v>RobotShop call rate is too high - RobotShop call rate stays at a high level for an extended period of time</v>
      </c>
      <c r="C2" t="str">
        <f>I2&amp;J2&amp;K2&amp;L2</f>
        <v>RobotShop call rate is too high - RobotShop call rate stays at a high level for an extended period of timeRatings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2" s="1">
        <v>45043.866226851853</v>
      </c>
      <c r="F2" s="1">
        <v>45046.18377314815</v>
      </c>
      <c r="G2" t="s">
        <v>10</v>
      </c>
      <c r="H2" s="1"/>
      <c r="I2" t="s">
        <v>11</v>
      </c>
      <c r="J2" s="2" t="s">
        <v>12</v>
      </c>
      <c r="K2" s="2" t="s">
        <v>13</v>
      </c>
      <c r="L2" s="2" t="s">
        <v>14</v>
      </c>
      <c r="M2" s="1">
        <v>45046.18377314815</v>
      </c>
      <c r="N2" t="s">
        <v>10</v>
      </c>
    </row>
    <row r="3" spans="1:15" ht="409.6" x14ac:dyDescent="0.2">
      <c r="A3">
        <v>2</v>
      </c>
      <c r="B3" t="str">
        <f t="shared" ref="B3:B21" si="0">I3</f>
        <v>RobotShop sudden increase in the number of erroneous calls - This can be a sign of a problem on one side of the connection</v>
      </c>
      <c r="C3" t="str">
        <f t="shared" ref="C3:C21" si="1">I3&amp;J3&amp;K3&amp;L3</f>
        <v>RobotShop sudden increase in the number of erroneous calls - This can be a sign of a problem on one side of the connectionRatings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3" s="1">
        <v>45044.866226851853</v>
      </c>
      <c r="F3" s="1">
        <v>45047.18377314815</v>
      </c>
      <c r="G3" t="s">
        <v>10</v>
      </c>
      <c r="H3" s="1"/>
      <c r="I3" t="s">
        <v>15</v>
      </c>
      <c r="J3" s="2" t="s">
        <v>12</v>
      </c>
      <c r="K3" s="2" t="s">
        <v>13</v>
      </c>
      <c r="L3" s="2" t="s">
        <v>14</v>
      </c>
      <c r="M3" s="1">
        <v>45047.18377314815</v>
      </c>
      <c r="N3" t="s">
        <v>10</v>
      </c>
    </row>
    <row r="4" spans="1:15" ht="409.6" x14ac:dyDescent="0.2">
      <c r="A4">
        <v>3</v>
      </c>
      <c r="B4" t="str">
        <f t="shared" si="0"/>
        <v>Sudden increase in the number of erroneous calls - This can be a sign of a problem on one side of the connection</v>
      </c>
      <c r="C4" t="str">
        <f t="shared" si="1"/>
        <v>Sudden increase in the number of erroneous calls - This can be a sign of a problem on one side of the connectionRatings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4" s="1">
        <v>45055.866226851853</v>
      </c>
      <c r="F4" s="1">
        <v>45058.18377314815</v>
      </c>
      <c r="G4" t="s">
        <v>10</v>
      </c>
      <c r="H4" s="1"/>
      <c r="I4" t="s">
        <v>16</v>
      </c>
      <c r="J4" s="2" t="s">
        <v>12</v>
      </c>
      <c r="K4" s="2" t="s">
        <v>13</v>
      </c>
      <c r="L4" s="2" t="s">
        <v>14</v>
      </c>
      <c r="M4" s="1">
        <v>45058.18377314815</v>
      </c>
      <c r="N4" t="s">
        <v>10</v>
      </c>
    </row>
    <row r="5" spans="1:15" ht="409.6" x14ac:dyDescent="0.2">
      <c r="A5">
        <v>4</v>
      </c>
      <c r="B5" t="str">
        <f t="shared" si="0"/>
        <v>RobotShop call rate is too high - RobotShop call rate stays at a high level for an extended period of time</v>
      </c>
      <c r="C5" t="str">
        <f t="shared" si="1"/>
        <v>RobotShop call rate is too high - RobotShop call rate stays at a high level for an extended period of timeRatings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5" s="1">
        <v>45043.866226851853</v>
      </c>
      <c r="F5" s="1">
        <v>45046.18377314815</v>
      </c>
      <c r="G5" t="s">
        <v>10</v>
      </c>
      <c r="H5" s="1"/>
      <c r="I5" t="s">
        <v>11</v>
      </c>
      <c r="J5" s="2" t="s">
        <v>12</v>
      </c>
      <c r="K5" s="2" t="s">
        <v>13</v>
      </c>
      <c r="L5" s="2" t="s">
        <v>14</v>
      </c>
      <c r="M5" s="1">
        <v>45046.18377314815</v>
      </c>
      <c r="N5" t="s">
        <v>10</v>
      </c>
    </row>
    <row r="6" spans="1:15" ht="409.6" x14ac:dyDescent="0.2">
      <c r="A6">
        <v>5</v>
      </c>
      <c r="B6" t="str">
        <f t="shared" si="0"/>
        <v>RobotShop sudden increase in the number of erroneous calls - This can be a sign of a problem on one side of the connection</v>
      </c>
      <c r="C6" t="str">
        <f t="shared" si="1"/>
        <v>RobotShop sudden increase in the number of erroneous calls - This can be a sign of a problem on one side of the connectionRatings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6" s="1">
        <v>45044.866226851853</v>
      </c>
      <c r="F6" s="1">
        <v>45047.18377314815</v>
      </c>
      <c r="G6" t="s">
        <v>10</v>
      </c>
      <c r="H6" s="1"/>
      <c r="I6" t="s">
        <v>15</v>
      </c>
      <c r="J6" s="2" t="s">
        <v>12</v>
      </c>
      <c r="K6" s="2" t="s">
        <v>13</v>
      </c>
      <c r="L6" s="2" t="s">
        <v>14</v>
      </c>
      <c r="M6" s="1">
        <v>45047.18377314815</v>
      </c>
      <c r="N6" t="s">
        <v>10</v>
      </c>
    </row>
    <row r="7" spans="1:15" ht="409.6" x14ac:dyDescent="0.2">
      <c r="A7">
        <v>6</v>
      </c>
      <c r="B7" t="str">
        <f t="shared" si="0"/>
        <v>Sudden increase in the number of erroneous calls - This can be a sign of a problem on one side of the connection</v>
      </c>
      <c r="C7" t="str">
        <f t="shared" si="1"/>
        <v>Sudden increase in the number of erroneous calls - This can be a sign of a problem on one side of the connectionRatings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7" s="1">
        <v>45055.866226851853</v>
      </c>
      <c r="F7" s="1">
        <v>45058.18377314815</v>
      </c>
      <c r="G7" t="s">
        <v>10</v>
      </c>
      <c r="H7" s="1"/>
      <c r="I7" t="s">
        <v>16</v>
      </c>
      <c r="J7" s="2" t="s">
        <v>12</v>
      </c>
      <c r="K7" s="2" t="s">
        <v>13</v>
      </c>
      <c r="L7" s="2" t="s">
        <v>14</v>
      </c>
      <c r="M7" s="1">
        <v>45058.18377314815</v>
      </c>
      <c r="N7" t="s">
        <v>10</v>
      </c>
    </row>
    <row r="8" spans="1:15" ht="409.6" x14ac:dyDescent="0.2">
      <c r="A8">
        <v>7</v>
      </c>
      <c r="B8" t="str">
        <f t="shared" si="0"/>
        <v>RobotShop sudden increase in the number of erroneous calls - This can be a sign of a problem on one side of the connection</v>
      </c>
      <c r="C8" t="str">
        <f t="shared" si="1"/>
        <v>RobotShop sudden increase in the number of erroneous calls - This can be a sign of a problem on one side of the connectionRatings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8" s="1">
        <v>45057.866226851853</v>
      </c>
      <c r="F8" s="1">
        <v>45060.18377314815</v>
      </c>
      <c r="G8" t="s">
        <v>10</v>
      </c>
      <c r="H8" s="1"/>
      <c r="I8" t="s">
        <v>15</v>
      </c>
      <c r="J8" s="2" t="s">
        <v>12</v>
      </c>
      <c r="K8" s="2" t="s">
        <v>13</v>
      </c>
      <c r="L8" s="2" t="s">
        <v>14</v>
      </c>
      <c r="M8" s="1">
        <v>45060.18377314815</v>
      </c>
      <c r="N8" t="s">
        <v>10</v>
      </c>
    </row>
    <row r="9" spans="1:15" ht="409.6" x14ac:dyDescent="0.2">
      <c r="A9">
        <v>8</v>
      </c>
      <c r="B9" t="str">
        <f t="shared" si="0"/>
        <v>Commit in repository robot-shop by Niklaus Hirt on file robot-shop.yaml - New Memory Limits</v>
      </c>
      <c r="C9" t="str">
        <f t="shared" si="1"/>
        <v>Commit in repository robot-shop by Niklaus Hirt on file robot-shop.yaml - New Memory LimitsCommit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9" s="1">
        <v>45061.866226851853</v>
      </c>
      <c r="F9" s="1">
        <v>45064.18377314815</v>
      </c>
      <c r="G9" t="s">
        <v>10</v>
      </c>
      <c r="H9" s="1"/>
      <c r="I9" t="s">
        <v>17</v>
      </c>
      <c r="J9" t="s">
        <v>17</v>
      </c>
      <c r="K9" s="2" t="s">
        <v>13</v>
      </c>
      <c r="L9" s="2" t="s">
        <v>14</v>
      </c>
      <c r="M9" s="1">
        <v>45064.18377314815</v>
      </c>
      <c r="N9" t="s">
        <v>10</v>
      </c>
    </row>
    <row r="10" spans="1:15" ht="409.6" x14ac:dyDescent="0.2">
      <c r="A10">
        <v>9</v>
      </c>
      <c r="B10" t="str">
        <f t="shared" si="0"/>
        <v>MySQL - change detected - The value **resources/limits** has changed</v>
      </c>
      <c r="C10" t="str">
        <f t="shared" si="1"/>
        <v>MySQL - change detected - The value **resources/limits** has changedCommit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0" s="1">
        <v>45062.866226851853</v>
      </c>
      <c r="F10" s="1">
        <v>45065.18377314815</v>
      </c>
      <c r="G10" t="s">
        <v>10</v>
      </c>
      <c r="H10" s="1"/>
      <c r="I10" t="s">
        <v>18</v>
      </c>
      <c r="J10" t="s">
        <v>17</v>
      </c>
      <c r="K10" s="2" t="s">
        <v>13</v>
      </c>
      <c r="L10" s="2" t="s">
        <v>14</v>
      </c>
      <c r="M10" s="1">
        <v>45065.18377314815</v>
      </c>
      <c r="N10" t="s">
        <v>10</v>
      </c>
    </row>
    <row r="11" spans="1:15" ht="409.6" x14ac:dyDescent="0.2">
      <c r="A11">
        <v>10</v>
      </c>
      <c r="B11" t="str">
        <f t="shared" si="0"/>
        <v>MySQL - K8s Deployment Modified</v>
      </c>
      <c r="C11" t="str">
        <f t="shared" si="1"/>
        <v>MySQL - K8s Deployment ModifiedCommit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1" s="1">
        <v>45063.866226851853</v>
      </c>
      <c r="F11" s="1">
        <v>45066.18377314815</v>
      </c>
      <c r="G11" t="s">
        <v>10</v>
      </c>
      <c r="H11" s="1"/>
      <c r="I11" t="s">
        <v>19</v>
      </c>
      <c r="J11" t="s">
        <v>17</v>
      </c>
      <c r="K11" s="2" t="s">
        <v>13</v>
      </c>
      <c r="L11" s="2" t="s">
        <v>14</v>
      </c>
      <c r="M11" s="1">
        <v>45066.18377314815</v>
      </c>
      <c r="N11" t="s">
        <v>10</v>
      </c>
    </row>
    <row r="12" spans="1:15" ht="409.6" x14ac:dyDescent="0.2">
      <c r="A12">
        <v>11</v>
      </c>
      <c r="B12" t="str">
        <f t="shared" si="0"/>
        <v>MySQL K8s Pod Created</v>
      </c>
      <c r="C12" t="str">
        <f t="shared" si="1"/>
        <v>MySQL K8s Pod CreatedCommit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2" s="1">
        <v>45064.866226851853</v>
      </c>
      <c r="F12" s="1">
        <v>45067.18377314815</v>
      </c>
      <c r="G12" t="s">
        <v>10</v>
      </c>
      <c r="H12" s="1"/>
      <c r="I12" t="s">
        <v>20</v>
      </c>
      <c r="J12" t="s">
        <v>17</v>
      </c>
      <c r="K12" s="2" t="s">
        <v>13</v>
      </c>
      <c r="L12" s="2" t="s">
        <v>14</v>
      </c>
      <c r="M12" s="1">
        <v>45067.18377314815</v>
      </c>
      <c r="N12" t="s">
        <v>10</v>
      </c>
    </row>
    <row r="13" spans="1:15" ht="409.6" x14ac:dyDescent="0.2">
      <c r="A13">
        <v>12</v>
      </c>
      <c r="B13" t="str">
        <f t="shared" si="0"/>
        <v>MySQL memory peak usage anomaly</v>
      </c>
      <c r="C13" t="str">
        <f t="shared" si="1"/>
        <v>MySQL memory peak usage anomalyCommit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3" s="1">
        <v>45065.866226851853</v>
      </c>
      <c r="F13" s="1">
        <v>45068.18377314815</v>
      </c>
      <c r="G13" t="s">
        <v>10</v>
      </c>
      <c r="H13" s="1"/>
      <c r="I13" t="s">
        <v>21</v>
      </c>
      <c r="J13" t="s">
        <v>17</v>
      </c>
      <c r="K13" s="2" t="s">
        <v>13</v>
      </c>
      <c r="L13" s="2" t="s">
        <v>14</v>
      </c>
      <c r="M13" s="1">
        <v>45068.18377314815</v>
      </c>
      <c r="N13" t="s">
        <v>10</v>
      </c>
    </row>
    <row r="14" spans="1:15" ht="409.6" x14ac:dyDescent="0.2">
      <c r="A14">
        <v>13</v>
      </c>
      <c r="B14" t="str">
        <f t="shared" si="0"/>
        <v>MySQL memory peak usage anomaly</v>
      </c>
      <c r="C14" t="str">
        <f t="shared" si="1"/>
        <v>MySQL memory peak usage anomalyCommit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4" s="1">
        <v>45065.866226851853</v>
      </c>
      <c r="F14" s="1">
        <v>45068.18377314815</v>
      </c>
      <c r="G14" t="s">
        <v>10</v>
      </c>
      <c r="H14" s="1"/>
      <c r="I14" t="s">
        <v>21</v>
      </c>
      <c r="J14" t="s">
        <v>17</v>
      </c>
      <c r="K14" s="2" t="s">
        <v>13</v>
      </c>
      <c r="L14" s="2" t="s">
        <v>14</v>
      </c>
      <c r="M14" s="1">
        <v>45068.18377314815</v>
      </c>
      <c r="N14" t="s">
        <v>10</v>
      </c>
    </row>
    <row r="15" spans="1:15" ht="409.6" x14ac:dyDescent="0.2">
      <c r="A15">
        <v>14</v>
      </c>
      <c r="B15" t="str">
        <f t="shared" si="0"/>
        <v>Robotshop Homepage - Functional verification failed</v>
      </c>
      <c r="C15" t="str">
        <f t="shared" si="1"/>
        <v>Robotshop Homepage - Functional verification failedCommit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5" s="1">
        <v>45066.866226851853</v>
      </c>
      <c r="F15" s="1">
        <v>45069.18377314815</v>
      </c>
      <c r="G15" t="s">
        <v>10</v>
      </c>
      <c r="H15" s="1"/>
      <c r="I15" t="s">
        <v>22</v>
      </c>
      <c r="J15" t="s">
        <v>17</v>
      </c>
      <c r="K15" s="2" t="s">
        <v>13</v>
      </c>
      <c r="L15" s="2" t="s">
        <v>14</v>
      </c>
      <c r="M15" s="1">
        <v>45069.18377314815</v>
      </c>
      <c r="N15" t="s">
        <v>10</v>
      </c>
    </row>
    <row r="16" spans="1:15" ht="409.6" x14ac:dyDescent="0.2">
      <c r="A16">
        <v>15</v>
      </c>
      <c r="B16" t="str">
        <f t="shared" si="0"/>
        <v>Ratings Service outage after K8s Node Failure</v>
      </c>
      <c r="C16" t="str">
        <f t="shared" si="1"/>
        <v>Ratings Service outage after K8s Node FailureCommit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6" s="1">
        <v>45067.866226851853</v>
      </c>
      <c r="F16" s="1">
        <v>45070.18377314815</v>
      </c>
      <c r="G16" t="s">
        <v>10</v>
      </c>
      <c r="H16" s="1"/>
      <c r="I16" t="s">
        <v>23</v>
      </c>
      <c r="J16" t="s">
        <v>17</v>
      </c>
      <c r="K16" s="2" t="s">
        <v>13</v>
      </c>
      <c r="L16" s="2" t="s">
        <v>14</v>
      </c>
      <c r="M16" s="1">
        <v>45070.18377314815</v>
      </c>
      <c r="N16" t="s">
        <v>10</v>
      </c>
    </row>
    <row r="17" spans="1:14" ht="409.6" x14ac:dyDescent="0.2">
      <c r="A17">
        <v>16</v>
      </c>
      <c r="B17" t="str">
        <f t="shared" si="0"/>
        <v>MySQL - available replicas is less than desired replicas - Check conditions and error events</v>
      </c>
      <c r="C17" t="str">
        <f t="shared" si="1"/>
        <v>MySQL - available replicas is less than desired replicas - Check conditions and error eventsCommit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Deployment Limits too low
      - MySQL Pod is restarting/killed with OoutOfMemory status. 
      - Ratings Pod is unable to access database. 
      - After correction, ratings Pod is unable to pick up the restart and has to be restarted as well. 
_ Resolved by adapting mysql deployment resource limits and restarting ratings pods.
__ Runbook:
      Increase resource limits for mysql Deployment - check with DEV to correct GIT Commit
      oc delete pod -n robot-shop $(oc get po -n robot-shop|grep ratings|awk '{print$1}'</v>
      </c>
      <c r="E17" s="1">
        <v>45070.866226851853</v>
      </c>
      <c r="F17" s="1">
        <v>45073.18377314815</v>
      </c>
      <c r="G17" t="s">
        <v>10</v>
      </c>
      <c r="H17" s="1"/>
      <c r="I17" t="s">
        <v>24</v>
      </c>
      <c r="J17" t="s">
        <v>17</v>
      </c>
      <c r="K17" s="2" t="s">
        <v>13</v>
      </c>
      <c r="L17" s="2" t="s">
        <v>25</v>
      </c>
      <c r="M17" s="1">
        <v>45073.18377314815</v>
      </c>
      <c r="N17" t="s">
        <v>10</v>
      </c>
    </row>
    <row r="18" spans="1:14" ht="409.6" x14ac:dyDescent="0.2">
      <c r="A18">
        <v>17</v>
      </c>
      <c r="B18" t="str">
        <f t="shared" si="0"/>
        <v>Robotshop Homepage call rate is too high- Robotshop call rate stays at a high level for an extended period of time</v>
      </c>
      <c r="C18" t="str">
        <f t="shared" si="1"/>
        <v>Robotshop Homepage call rate is too high- Robotshop call rate stays at a high level for an extended period of timeCommit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Deployment Limits too low
      - MySQL Pod is restarting/killed with OoutOfMemory status. 
      - Ratings Pod is unable to access database. 
      - After correction, ratings Pod is unable to pick up the restart and has to be restarted as well. 
_ Resolved by adapting mysql deployment resource limits and restarting ratings pods.
__ Runbook:
      Increase resource limits for mysql Deployment - check with DEV to correct GIT Commit
      oc delete pod -n robot-shop $(oc get po -n robot-shop|grep ratings|awk '{print$1}'</v>
      </c>
      <c r="E18" s="1">
        <v>45071.866226851853</v>
      </c>
      <c r="F18" s="1">
        <v>45074.18377314815</v>
      </c>
      <c r="G18" t="s">
        <v>10</v>
      </c>
      <c r="H18" s="1"/>
      <c r="I18" t="s">
        <v>26</v>
      </c>
      <c r="J18" t="s">
        <v>17</v>
      </c>
      <c r="K18" s="2" t="s">
        <v>13</v>
      </c>
      <c r="L18" s="2" t="s">
        <v>25</v>
      </c>
      <c r="M18" s="1">
        <v>45074.18377314815</v>
      </c>
      <c r="N18" t="s">
        <v>10</v>
      </c>
    </row>
    <row r="19" spans="1:14" ht="409.6" x14ac:dyDescent="0.2">
      <c r="A19">
        <v>18</v>
      </c>
      <c r="B19" t="str">
        <f t="shared" si="0"/>
        <v>&lt;*&gt; stdout F &lt;*&gt; - - [&lt;*&gt;/May/&lt;*&gt;:&lt;*&gt;:&lt;*&gt;:&lt;*&gt; &lt;*&gt;] &lt;*&gt;</v>
      </c>
      <c r="C19" t="str">
        <f t="shared" si="1"/>
        <v>&lt;*&gt; stdout F &lt;*&gt; - - [&lt;*&gt;/May/&lt;*&gt;:&lt;*&gt;:&lt;*&gt;:&lt;*&gt; &lt;*&gt;] &lt;*&gt;Commit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Deployment Limits too low
      - MySQL Pod is restarting/killed with OoutOfMemory status. 
      - Ratings Pod is unable to access database. 
      - After correction, ratings Pod is unable to pick up the restart and has to be restarted as well. 
_ Resolved by adapting mysql deployment resource limits and restarting ratings pods.
__ Runbook:
      Increase resource limits for mysql Deployment - check with DEV to correct GIT Commit
      oc delete pod -n robot-shop $(oc get po -n robot-shop|grep ratings|awk '{print$1}'</v>
      </c>
      <c r="E19" s="1">
        <v>45074.866226851853</v>
      </c>
      <c r="F19" s="1">
        <v>45077.18377314815</v>
      </c>
      <c r="G19" t="s">
        <v>10</v>
      </c>
      <c r="H19" s="1"/>
      <c r="I19" t="s">
        <v>27</v>
      </c>
      <c r="J19" t="s">
        <v>17</v>
      </c>
      <c r="K19" s="2" t="s">
        <v>13</v>
      </c>
      <c r="L19" s="2" t="s">
        <v>25</v>
      </c>
      <c r="M19" s="1">
        <v>45077.18377314815</v>
      </c>
      <c r="N19" t="s">
        <v>10</v>
      </c>
    </row>
    <row r="20" spans="1:14" ht="409.6" x14ac:dyDescent="0.2">
      <c r="A20">
        <v>19</v>
      </c>
      <c r="B20" t="str">
        <f t="shared" si="0"/>
        <v>vSphere Switch Outage: dcwest1-switch023</v>
      </c>
      <c r="C20" t="str">
        <f t="shared" si="1"/>
        <v>vSphere Switch Outage: dcwest1-switch023vSphere Switch Outage: dcwest1-switch023__ Cause: Switch DCWest1-Switch023 had an short outage.
_ vSphere Switch dcwest1-switch023 - Port1 unavailable
__ Resolved by rebooting the port._ Cause: Switch DCWest1-Switch023 had an short outage.
- _ vSphere Switch dcwest1-switch023 - Port1 unavailable
- Port1 for MySQL Database unavailable.
- Ratings Pod is unable to restart reliably after MySQL outage. 
- MySQL Pod is in CrashLoopBackoff state and has to be restarted. 
- Ratings Service is unable to pick up the restart and has to be restarted as well. 
_ Resolved by rebooting the port.
__ Runbook:
oc delete pod -n robot-shop $(oc get po -n robot-shop|grep mysql|awk '{print$1}'
oc delete pod -n robot-shop $(oc get po -n robot-shop|grep ratings|awk '{print$1}'</v>
      </c>
      <c r="E20" s="1">
        <v>45069.866226851853</v>
      </c>
      <c r="F20" s="1">
        <v>45072.18377314815</v>
      </c>
      <c r="G20" t="s">
        <v>10</v>
      </c>
      <c r="H20" s="1"/>
      <c r="I20" t="s">
        <v>28</v>
      </c>
      <c r="J20" t="s">
        <v>28</v>
      </c>
      <c r="K20" s="2" t="s">
        <v>29</v>
      </c>
      <c r="L20" s="2" t="s">
        <v>30</v>
      </c>
      <c r="M20" s="1">
        <v>45072.18377314815</v>
      </c>
      <c r="N20" t="s">
        <v>10</v>
      </c>
    </row>
    <row r="21" spans="1:14" ht="409.6" x14ac:dyDescent="0.2">
      <c r="A21">
        <v>20</v>
      </c>
      <c r="B21" t="str">
        <f t="shared" si="0"/>
        <v>Server failure after Fan outage</v>
      </c>
      <c r="C21" t="str">
        <f t="shared" si="1"/>
        <v>Server failure after Fan outageBlade DCWest1-Rack045-DELL3762 is overheating and shutting down.__  Cause: Rack Fan had an outage.
- Blade is overheating and shutting down.
- vSphere Host becomes unavailable.
- K8s node becomes unavailable.
- Ratings Pod is unable to restart reliably after K8s Node outage.
- MySQL Pod is in CrashLoopBackoff state and has to be restarted.
- Ratings Service is unable to pick up the restart and has to be restarted as well._ Cause: Rack Fan had an outage.
- Blade is overheating and shutting down.
- vSphere Host becomes unavailable.
- K8s node becomes unavailable.
- Ratings Pod is unable to restart reliably after K8s Node outage. 
- MySQL Pod is in CrashLoopBackoff state and has to be restarted. 
- Ratings Service is unable to pick up the restart and has to be restarted as well. 
_ Resolved by replacing the rack fan.
__ Runbook:
oc delete pod -n robot-shop $(oc get po -n robot-shop|grep mysql|awk '{print$1}'
oc delete pod -n robot-shop $(oc get po -n robot-shop|grep ratings|awk '{print$1}'</v>
      </c>
      <c r="E21" s="1">
        <v>45068.866226851853</v>
      </c>
      <c r="F21" s="1">
        <v>45071.18377314815</v>
      </c>
      <c r="G21" t="s">
        <v>10</v>
      </c>
      <c r="H21" s="1"/>
      <c r="I21" t="s">
        <v>31</v>
      </c>
      <c r="J21" t="s">
        <v>32</v>
      </c>
      <c r="K21" s="2" t="s">
        <v>33</v>
      </c>
      <c r="L21" s="2" t="s">
        <v>34</v>
      </c>
      <c r="M21" s="1">
        <v>45071.18377314815</v>
      </c>
      <c r="N21" t="s">
        <v>10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C5AF-2836-6B47-8840-7D0D5FA91EBC}">
  <dimension ref="A1:I21"/>
  <sheetViews>
    <sheetView tabSelected="1" workbookViewId="0">
      <selection activeCell="B16" sqref="B16"/>
    </sheetView>
  </sheetViews>
  <sheetFormatPr baseColWidth="10" defaultRowHeight="16" x14ac:dyDescent="0.2"/>
  <cols>
    <col min="2" max="2" width="70.1640625" customWidth="1"/>
    <col min="3" max="3" width="55.83203125" customWidth="1"/>
    <col min="4" max="4" width="12.33203125" bestFit="1" customWidth="1"/>
    <col min="5" max="5" width="11.33203125" bestFit="1" customWidth="1"/>
    <col min="8" max="8" width="101" bestFit="1" customWidth="1"/>
    <col min="9" max="9" width="76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9" x14ac:dyDescent="0.2">
      <c r="A2">
        <v>1</v>
      </c>
      <c r="B2" t="s">
        <v>11</v>
      </c>
      <c r="C2" t="s">
        <v>35</v>
      </c>
      <c r="D2" s="1">
        <v>45043.866226851853</v>
      </c>
      <c r="E2" s="1">
        <v>45046.18377314815</v>
      </c>
      <c r="F2" t="s">
        <v>10</v>
      </c>
      <c r="G2" s="1"/>
      <c r="I2" s="2"/>
    </row>
    <row r="3" spans="1:9" x14ac:dyDescent="0.2">
      <c r="A3">
        <v>2</v>
      </c>
      <c r="B3" t="s">
        <v>15</v>
      </c>
      <c r="C3" t="s">
        <v>36</v>
      </c>
      <c r="D3" s="1">
        <v>45044.866226851853</v>
      </c>
      <c r="E3" s="1">
        <v>45047.18377314815</v>
      </c>
      <c r="F3" t="s">
        <v>10</v>
      </c>
      <c r="G3" s="1"/>
      <c r="I3" s="2"/>
    </row>
    <row r="4" spans="1:9" x14ac:dyDescent="0.2">
      <c r="A4">
        <v>3</v>
      </c>
      <c r="B4" t="s">
        <v>16</v>
      </c>
      <c r="C4" t="s">
        <v>37</v>
      </c>
      <c r="D4" s="1">
        <v>45055.866226851853</v>
      </c>
      <c r="E4" s="1">
        <v>45058.18377314815</v>
      </c>
      <c r="F4" t="s">
        <v>10</v>
      </c>
      <c r="G4" s="1"/>
      <c r="I4" s="2"/>
    </row>
    <row r="5" spans="1:9" x14ac:dyDescent="0.2">
      <c r="A5">
        <v>4</v>
      </c>
      <c r="B5" t="s">
        <v>11</v>
      </c>
      <c r="C5" t="s">
        <v>35</v>
      </c>
      <c r="D5" s="1">
        <v>45043.866226851853</v>
      </c>
      <c r="E5" s="1">
        <v>45046.18377314815</v>
      </c>
      <c r="F5" t="s">
        <v>10</v>
      </c>
      <c r="G5" s="1"/>
      <c r="I5" s="2"/>
    </row>
    <row r="6" spans="1:9" x14ac:dyDescent="0.2">
      <c r="A6">
        <v>5</v>
      </c>
      <c r="B6" t="s">
        <v>15</v>
      </c>
      <c r="C6" t="s">
        <v>36</v>
      </c>
      <c r="D6" s="1">
        <v>45044.866226851853</v>
      </c>
      <c r="E6" s="1">
        <v>45047.18377314815</v>
      </c>
      <c r="F6" t="s">
        <v>10</v>
      </c>
      <c r="G6" s="1"/>
      <c r="I6" s="2"/>
    </row>
    <row r="7" spans="1:9" x14ac:dyDescent="0.2">
      <c r="A7">
        <v>6</v>
      </c>
      <c r="B7" t="s">
        <v>16</v>
      </c>
      <c r="C7" t="s">
        <v>37</v>
      </c>
      <c r="D7" s="1">
        <v>45055.866226851853</v>
      </c>
      <c r="E7" s="1">
        <v>45058.18377314815</v>
      </c>
      <c r="F7" t="s">
        <v>10</v>
      </c>
      <c r="G7" s="1"/>
      <c r="I7" s="2"/>
    </row>
    <row r="8" spans="1:9" x14ac:dyDescent="0.2">
      <c r="A8">
        <v>7</v>
      </c>
      <c r="B8" t="s">
        <v>15</v>
      </c>
      <c r="C8" t="s">
        <v>36</v>
      </c>
      <c r="D8" s="1">
        <v>45057.866226851853</v>
      </c>
      <c r="E8" s="1">
        <v>45060.18377314815</v>
      </c>
      <c r="F8" t="s">
        <v>10</v>
      </c>
      <c r="G8" s="1"/>
      <c r="I8" s="2"/>
    </row>
    <row r="9" spans="1:9" x14ac:dyDescent="0.2">
      <c r="A9">
        <v>8</v>
      </c>
      <c r="B9" t="s">
        <v>17</v>
      </c>
      <c r="C9" t="s">
        <v>38</v>
      </c>
      <c r="D9" s="1">
        <v>45061.866226851853</v>
      </c>
      <c r="E9" s="1">
        <v>45064.18377314815</v>
      </c>
      <c r="F9" t="s">
        <v>10</v>
      </c>
      <c r="G9" s="1"/>
    </row>
    <row r="10" spans="1:9" x14ac:dyDescent="0.2">
      <c r="A10">
        <v>9</v>
      </c>
      <c r="B10" t="s">
        <v>18</v>
      </c>
      <c r="C10" t="s">
        <v>39</v>
      </c>
      <c r="D10" s="1">
        <v>45062.866226851853</v>
      </c>
      <c r="E10" s="1">
        <v>45065.18377314815</v>
      </c>
      <c r="F10" t="s">
        <v>10</v>
      </c>
      <c r="G10" s="1"/>
    </row>
    <row r="11" spans="1:9" x14ac:dyDescent="0.2">
      <c r="A11">
        <v>10</v>
      </c>
      <c r="B11" t="s">
        <v>19</v>
      </c>
      <c r="C11" t="s">
        <v>40</v>
      </c>
      <c r="D11" s="1">
        <v>45063.866226851853</v>
      </c>
      <c r="E11" s="1">
        <v>45066.18377314815</v>
      </c>
      <c r="F11" t="s">
        <v>10</v>
      </c>
      <c r="G11" s="1"/>
    </row>
    <row r="12" spans="1:9" x14ac:dyDescent="0.2">
      <c r="A12">
        <v>11</v>
      </c>
      <c r="B12" t="s">
        <v>20</v>
      </c>
      <c r="C12" t="s">
        <v>41</v>
      </c>
      <c r="D12" s="1">
        <v>45064.866226851853</v>
      </c>
      <c r="E12" s="1">
        <v>45067.18377314815</v>
      </c>
      <c r="F12" t="s">
        <v>10</v>
      </c>
      <c r="G12" s="1"/>
    </row>
    <row r="13" spans="1:9" x14ac:dyDescent="0.2">
      <c r="A13">
        <v>12</v>
      </c>
      <c r="B13" t="s">
        <v>21</v>
      </c>
      <c r="C13" t="s">
        <v>42</v>
      </c>
      <c r="D13" s="1">
        <v>45065.866226851853</v>
      </c>
      <c r="E13" s="1">
        <v>45068.18377314815</v>
      </c>
      <c r="F13" t="s">
        <v>10</v>
      </c>
      <c r="G13" s="1"/>
    </row>
    <row r="14" spans="1:9" x14ac:dyDescent="0.2">
      <c r="A14">
        <v>13</v>
      </c>
      <c r="B14" t="s">
        <v>21</v>
      </c>
      <c r="C14" t="s">
        <v>42</v>
      </c>
      <c r="D14" s="1">
        <v>45065.866226851853</v>
      </c>
      <c r="E14" s="1">
        <v>45068.18377314815</v>
      </c>
      <c r="F14" t="s">
        <v>10</v>
      </c>
      <c r="G14" s="1"/>
    </row>
    <row r="15" spans="1:9" x14ac:dyDescent="0.2">
      <c r="A15">
        <v>14</v>
      </c>
      <c r="B15" t="s">
        <v>22</v>
      </c>
      <c r="C15" t="s">
        <v>43</v>
      </c>
      <c r="D15" s="1">
        <v>45066.866226851853</v>
      </c>
      <c r="E15" s="1">
        <v>45069.18377314815</v>
      </c>
      <c r="F15" t="s">
        <v>10</v>
      </c>
      <c r="G15" s="1"/>
    </row>
    <row r="16" spans="1:9" x14ac:dyDescent="0.2">
      <c r="A16">
        <v>15</v>
      </c>
      <c r="B16" t="s">
        <v>23</v>
      </c>
      <c r="C16" t="s">
        <v>44</v>
      </c>
      <c r="D16" s="1">
        <v>45067.866226851853</v>
      </c>
      <c r="E16" s="1">
        <v>45070.18377314815</v>
      </c>
      <c r="F16" t="s">
        <v>10</v>
      </c>
      <c r="G16" s="1"/>
    </row>
    <row r="17" spans="1:7" x14ac:dyDescent="0.2">
      <c r="A17">
        <v>16</v>
      </c>
      <c r="B17" t="s">
        <v>24</v>
      </c>
      <c r="C17" t="s">
        <v>45</v>
      </c>
      <c r="D17" s="1">
        <v>45070.866226851853</v>
      </c>
      <c r="E17" s="1">
        <v>45073.18377314815</v>
      </c>
      <c r="F17" t="s">
        <v>10</v>
      </c>
      <c r="G17" s="1"/>
    </row>
    <row r="18" spans="1:7" x14ac:dyDescent="0.2">
      <c r="A18">
        <v>17</v>
      </c>
      <c r="B18" t="s">
        <v>26</v>
      </c>
      <c r="C18" t="s">
        <v>46</v>
      </c>
      <c r="D18" s="1">
        <v>45071.866226851853</v>
      </c>
      <c r="E18" s="1">
        <v>45074.18377314815</v>
      </c>
      <c r="F18" t="s">
        <v>10</v>
      </c>
      <c r="G18" s="1"/>
    </row>
    <row r="19" spans="1:7" x14ac:dyDescent="0.2">
      <c r="A19">
        <v>18</v>
      </c>
      <c r="B19" t="s">
        <v>27</v>
      </c>
      <c r="C19" t="s">
        <v>47</v>
      </c>
      <c r="D19" s="1">
        <v>45074.866226851853</v>
      </c>
      <c r="E19" s="1">
        <v>45077.18377314815</v>
      </c>
      <c r="F19" t="s">
        <v>10</v>
      </c>
      <c r="G19" s="1"/>
    </row>
    <row r="20" spans="1:7" x14ac:dyDescent="0.2">
      <c r="A20">
        <v>19</v>
      </c>
      <c r="B20" t="s">
        <v>28</v>
      </c>
      <c r="C20" t="s">
        <v>48</v>
      </c>
      <c r="D20" s="1">
        <v>45069.866226851853</v>
      </c>
      <c r="E20" s="1">
        <v>45072.18377314815</v>
      </c>
      <c r="F20" t="s">
        <v>10</v>
      </c>
      <c r="G20" s="1"/>
    </row>
    <row r="21" spans="1:7" x14ac:dyDescent="0.2">
      <c r="A21">
        <v>20</v>
      </c>
      <c r="B21" t="s">
        <v>31</v>
      </c>
      <c r="C21" t="s">
        <v>49</v>
      </c>
      <c r="D21" s="1">
        <v>45068.866226851853</v>
      </c>
      <c r="E21" s="1">
        <v>45071.18377314815</v>
      </c>
      <c r="F21" t="s">
        <v>10</v>
      </c>
      <c r="G21" s="1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42C4-1D85-0749-80C2-2FD2728E3AA2}">
  <dimension ref="A1:O21"/>
  <sheetViews>
    <sheetView workbookViewId="0">
      <selection activeCell="H10" sqref="H10"/>
    </sheetView>
  </sheetViews>
  <sheetFormatPr baseColWidth="10" defaultRowHeight="16" x14ac:dyDescent="0.2"/>
  <cols>
    <col min="2" max="2" width="70.1640625" customWidth="1"/>
    <col min="3" max="4" width="55.83203125" customWidth="1"/>
    <col min="6" max="6" width="11.33203125" bestFit="1" customWidth="1"/>
    <col min="9" max="9" width="101" bestFit="1" customWidth="1"/>
    <col min="10" max="10" width="76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E1" t="s">
        <v>5</v>
      </c>
      <c r="F1" t="s">
        <v>3</v>
      </c>
      <c r="G1" t="s">
        <v>4</v>
      </c>
      <c r="I1" t="s">
        <v>6</v>
      </c>
      <c r="J1" t="s">
        <v>7</v>
      </c>
      <c r="K1" t="s">
        <v>8</v>
      </c>
      <c r="L1" t="s">
        <v>9</v>
      </c>
      <c r="M1" t="s">
        <v>3</v>
      </c>
      <c r="N1" t="s">
        <v>4</v>
      </c>
      <c r="O1" t="s">
        <v>1</v>
      </c>
    </row>
    <row r="2" spans="1:15" x14ac:dyDescent="0.2">
      <c r="A2">
        <v>1</v>
      </c>
      <c r="B2" t="str">
        <f>I2</f>
        <v>RobotShop call rate is too high - RobotShop call rate stays at a high level for an extended period of time</v>
      </c>
      <c r="C2" t="str">
        <f>I2&amp;J2&amp;K2&amp;L2</f>
        <v>RobotShop call rate is too high - RobotShop call rate stays at a high level for an extended period of timeRatings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2" s="1">
        <v>45043.866226851853</v>
      </c>
      <c r="F2" s="1">
        <v>45046.18377314815</v>
      </c>
      <c r="G2" t="s">
        <v>10</v>
      </c>
      <c r="H2" s="1"/>
      <c r="I2" t="s">
        <v>11</v>
      </c>
      <c r="J2" s="2" t="s">
        <v>12</v>
      </c>
      <c r="K2" s="2" t="s">
        <v>13</v>
      </c>
      <c r="L2" s="2" t="s">
        <v>14</v>
      </c>
      <c r="M2" s="1">
        <v>45046.18377314815</v>
      </c>
      <c r="N2" t="s">
        <v>10</v>
      </c>
    </row>
    <row r="3" spans="1:15" x14ac:dyDescent="0.2">
      <c r="A3">
        <v>2</v>
      </c>
      <c r="B3" t="str">
        <f t="shared" ref="B3:B21" si="0">I3</f>
        <v>RobotShop sudden increase in the number of erroneous calls - This can be a sign of a problem on one side of the connection</v>
      </c>
      <c r="C3" t="str">
        <f t="shared" ref="C3:C21" si="1">I3&amp;J3&amp;K3&amp;L3</f>
        <v>RobotShop sudden increase in the number of erroneous calls - This can be a sign of a problem on one side of the connectionRatings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3" s="1">
        <v>45044.866226851853</v>
      </c>
      <c r="F3" s="1">
        <v>45047.18377314815</v>
      </c>
      <c r="G3" t="s">
        <v>10</v>
      </c>
      <c r="H3" s="1"/>
      <c r="I3" t="s">
        <v>15</v>
      </c>
      <c r="J3" s="2" t="s">
        <v>12</v>
      </c>
      <c r="K3" s="2" t="s">
        <v>13</v>
      </c>
      <c r="L3" s="2" t="s">
        <v>14</v>
      </c>
      <c r="M3" s="1">
        <v>45047.18377314815</v>
      </c>
      <c r="N3" t="s">
        <v>10</v>
      </c>
    </row>
    <row r="4" spans="1:15" x14ac:dyDescent="0.2">
      <c r="A4">
        <v>3</v>
      </c>
      <c r="B4" t="str">
        <f t="shared" si="0"/>
        <v>Sudden increase in the number of erroneous calls - This can be a sign of a problem on one side of the connection</v>
      </c>
      <c r="C4" t="str">
        <f t="shared" si="1"/>
        <v>Sudden increase in the number of erroneous calls - This can be a sign of a problem on one side of the connectionRatings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4" s="1">
        <v>45055.866226851853</v>
      </c>
      <c r="F4" s="1">
        <v>45058.18377314815</v>
      </c>
      <c r="G4" t="s">
        <v>10</v>
      </c>
      <c r="H4" s="1"/>
      <c r="I4" t="s">
        <v>16</v>
      </c>
      <c r="J4" s="2" t="s">
        <v>12</v>
      </c>
      <c r="K4" s="2" t="s">
        <v>13</v>
      </c>
      <c r="L4" s="2" t="s">
        <v>14</v>
      </c>
      <c r="M4" s="1">
        <v>45058.18377314815</v>
      </c>
      <c r="N4" t="s">
        <v>10</v>
      </c>
    </row>
    <row r="5" spans="1:15" x14ac:dyDescent="0.2">
      <c r="A5">
        <v>4</v>
      </c>
      <c r="B5" t="str">
        <f t="shared" si="0"/>
        <v>RobotShop call rate is too high - RobotShop call rate stays at a high level for an extended period of time</v>
      </c>
      <c r="C5" t="str">
        <f t="shared" si="1"/>
        <v>RobotShop call rate is too high - RobotShop call rate stays at a high level for an extended period of timeRatings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5" s="1">
        <v>45043.866226851853</v>
      </c>
      <c r="F5" s="1">
        <v>45046.18377314815</v>
      </c>
      <c r="G5" t="s">
        <v>10</v>
      </c>
      <c r="H5" s="1"/>
      <c r="I5" t="s">
        <v>11</v>
      </c>
      <c r="J5" s="2" t="s">
        <v>12</v>
      </c>
      <c r="K5" s="2" t="s">
        <v>13</v>
      </c>
      <c r="L5" s="2" t="s">
        <v>14</v>
      </c>
      <c r="M5" s="1">
        <v>45046.18377314815</v>
      </c>
      <c r="N5" t="s">
        <v>10</v>
      </c>
    </row>
    <row r="6" spans="1:15" x14ac:dyDescent="0.2">
      <c r="A6">
        <v>5</v>
      </c>
      <c r="B6" t="str">
        <f t="shared" si="0"/>
        <v>RobotShop sudden increase in the number of erroneous calls - This can be a sign of a problem on one side of the connection</v>
      </c>
      <c r="C6" t="str">
        <f t="shared" si="1"/>
        <v>RobotShop sudden increase in the number of erroneous calls - This can be a sign of a problem on one side of the connectionRatings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6" s="1">
        <v>45044.866226851853</v>
      </c>
      <c r="F6" s="1">
        <v>45047.18377314815</v>
      </c>
      <c r="G6" t="s">
        <v>10</v>
      </c>
      <c r="H6" s="1"/>
      <c r="I6" t="s">
        <v>15</v>
      </c>
      <c r="J6" s="2" t="s">
        <v>12</v>
      </c>
      <c r="K6" s="2" t="s">
        <v>13</v>
      </c>
      <c r="L6" s="2" t="s">
        <v>14</v>
      </c>
      <c r="M6" s="1">
        <v>45047.18377314815</v>
      </c>
      <c r="N6" t="s">
        <v>10</v>
      </c>
    </row>
    <row r="7" spans="1:15" x14ac:dyDescent="0.2">
      <c r="A7">
        <v>6</v>
      </c>
      <c r="B7" t="str">
        <f t="shared" si="0"/>
        <v>Sudden increase in the number of erroneous calls - This can be a sign of a problem on one side of the connection</v>
      </c>
      <c r="C7" t="str">
        <f t="shared" si="1"/>
        <v>Sudden increase in the number of erroneous calls - This can be a sign of a problem on one side of the connectionRatings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7" s="1">
        <v>45055.866226851853</v>
      </c>
      <c r="F7" s="1">
        <v>45058.18377314815</v>
      </c>
      <c r="G7" t="s">
        <v>10</v>
      </c>
      <c r="H7" s="1"/>
      <c r="I7" t="s">
        <v>16</v>
      </c>
      <c r="J7" s="2" t="s">
        <v>12</v>
      </c>
      <c r="K7" s="2" t="s">
        <v>13</v>
      </c>
      <c r="L7" s="2" t="s">
        <v>14</v>
      </c>
      <c r="M7" s="1">
        <v>45058.18377314815</v>
      </c>
      <c r="N7" t="s">
        <v>10</v>
      </c>
    </row>
    <row r="8" spans="1:15" x14ac:dyDescent="0.2">
      <c r="A8">
        <v>7</v>
      </c>
      <c r="B8" t="str">
        <f t="shared" si="0"/>
        <v>RobotShop sudden increase in the number of erroneous calls - This can be a sign of a problem on one side of the connection</v>
      </c>
      <c r="C8" t="str">
        <f t="shared" si="1"/>
        <v>RobotShop sudden increase in the number of erroneous calls - This can be a sign of a problem on one side of the connectionRatings are not displayed anymore after a GIT Commit by DEV.
Predictive Insights indicates an anomaly with MySQL memory peak usage. 
Could be memory leak or a code change in the GIT Commit?.__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8" s="1">
        <v>45057.866226851853</v>
      </c>
      <c r="F8" s="1">
        <v>45060.18377314815</v>
      </c>
      <c r="G8" t="s">
        <v>10</v>
      </c>
      <c r="H8" s="1"/>
      <c r="I8" t="s">
        <v>15</v>
      </c>
      <c r="J8" s="2" t="s">
        <v>12</v>
      </c>
      <c r="K8" s="2" t="s">
        <v>13</v>
      </c>
      <c r="L8" s="2" t="s">
        <v>14</v>
      </c>
      <c r="M8" s="1">
        <v>45060.18377314815</v>
      </c>
      <c r="N8" t="s">
        <v>10</v>
      </c>
    </row>
    <row r="9" spans="1:15" x14ac:dyDescent="0.2">
      <c r="A9">
        <v>8</v>
      </c>
      <c r="B9" t="str">
        <f t="shared" si="0"/>
        <v>Commit in repository robot-shop by Niklaus Hirt on file robot-shop.yaml - New Memory Limits</v>
      </c>
      <c r="C9" t="str">
        <f t="shared" si="1"/>
        <v>Commit in repository robot-shop by Niklaus Hirt on file robot-shop.yaml - New Memory LimitsCommit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9" s="1">
        <v>45061.866226851853</v>
      </c>
      <c r="F9" s="1">
        <v>45064.18377314815</v>
      </c>
      <c r="G9" t="s">
        <v>10</v>
      </c>
      <c r="H9" s="1"/>
      <c r="I9" t="s">
        <v>17</v>
      </c>
      <c r="J9" t="s">
        <v>17</v>
      </c>
      <c r="K9" s="2" t="s">
        <v>13</v>
      </c>
      <c r="L9" s="2" t="s">
        <v>14</v>
      </c>
      <c r="M9" s="1">
        <v>45064.18377314815</v>
      </c>
      <c r="N9" t="s">
        <v>10</v>
      </c>
    </row>
    <row r="10" spans="1:15" x14ac:dyDescent="0.2">
      <c r="A10">
        <v>9</v>
      </c>
      <c r="B10" t="str">
        <f t="shared" si="0"/>
        <v>MySQL - change detected - The value **resources/limits** has changed</v>
      </c>
      <c r="C10" t="str">
        <f t="shared" si="1"/>
        <v>MySQL - change detected - The value **resources/limits** has changedCommit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0" s="1">
        <v>45062.866226851853</v>
      </c>
      <c r="F10" s="1">
        <v>45065.18377314815</v>
      </c>
      <c r="G10" t="s">
        <v>10</v>
      </c>
      <c r="H10" s="1"/>
      <c r="I10" t="s">
        <v>18</v>
      </c>
      <c r="J10" t="s">
        <v>17</v>
      </c>
      <c r="K10" s="2" t="s">
        <v>13</v>
      </c>
      <c r="L10" s="2" t="s">
        <v>14</v>
      </c>
      <c r="M10" s="1">
        <v>45065.18377314815</v>
      </c>
      <c r="N10" t="s">
        <v>10</v>
      </c>
    </row>
    <row r="11" spans="1:15" x14ac:dyDescent="0.2">
      <c r="A11">
        <v>10</v>
      </c>
      <c r="B11" t="str">
        <f t="shared" si="0"/>
        <v>MySQL - K8s Deployment Modified</v>
      </c>
      <c r="C11" t="str">
        <f t="shared" si="1"/>
        <v>MySQL - K8s Deployment ModifiedCommit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1" s="1">
        <v>45063.866226851853</v>
      </c>
      <c r="F11" s="1">
        <v>45066.18377314815</v>
      </c>
      <c r="G11" t="s">
        <v>10</v>
      </c>
      <c r="H11" s="1"/>
      <c r="I11" t="s">
        <v>19</v>
      </c>
      <c r="J11" t="s">
        <v>17</v>
      </c>
      <c r="K11" s="2" t="s">
        <v>13</v>
      </c>
      <c r="L11" s="2" t="s">
        <v>14</v>
      </c>
      <c r="M11" s="1">
        <v>45066.18377314815</v>
      </c>
      <c r="N11" t="s">
        <v>10</v>
      </c>
    </row>
    <row r="12" spans="1:15" x14ac:dyDescent="0.2">
      <c r="A12">
        <v>11</v>
      </c>
      <c r="B12" t="str">
        <f t="shared" si="0"/>
        <v>MySQL K8s Pod Created</v>
      </c>
      <c r="C12" t="str">
        <f t="shared" si="1"/>
        <v>MySQL K8s Pod CreatedCommit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2" s="1">
        <v>45064.866226851853</v>
      </c>
      <c r="F12" s="1">
        <v>45067.18377314815</v>
      </c>
      <c r="G12" t="s">
        <v>10</v>
      </c>
      <c r="H12" s="1"/>
      <c r="I12" t="s">
        <v>20</v>
      </c>
      <c r="J12" t="s">
        <v>17</v>
      </c>
      <c r="K12" s="2" t="s">
        <v>13</v>
      </c>
      <c r="L12" s="2" t="s">
        <v>14</v>
      </c>
      <c r="M12" s="1">
        <v>45067.18377314815</v>
      </c>
      <c r="N12" t="s">
        <v>10</v>
      </c>
    </row>
    <row r="13" spans="1:15" x14ac:dyDescent="0.2">
      <c r="A13">
        <v>12</v>
      </c>
      <c r="B13" t="str">
        <f t="shared" si="0"/>
        <v>MySQL memory peak usage anomaly</v>
      </c>
      <c r="C13" t="str">
        <f t="shared" si="1"/>
        <v>MySQL memory peak usage anomalyCommit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3" s="1">
        <v>45065.866226851853</v>
      </c>
      <c r="F13" s="1">
        <v>45068.18377314815</v>
      </c>
      <c r="G13" t="s">
        <v>10</v>
      </c>
      <c r="H13" s="1"/>
      <c r="I13" t="s">
        <v>21</v>
      </c>
      <c r="J13" t="s">
        <v>17</v>
      </c>
      <c r="K13" s="2" t="s">
        <v>13</v>
      </c>
      <c r="L13" s="2" t="s">
        <v>14</v>
      </c>
      <c r="M13" s="1">
        <v>45068.18377314815</v>
      </c>
      <c r="N13" t="s">
        <v>10</v>
      </c>
    </row>
    <row r="14" spans="1:15" x14ac:dyDescent="0.2">
      <c r="A14">
        <v>13</v>
      </c>
      <c r="B14" t="str">
        <f t="shared" si="0"/>
        <v>MySQL memory peak usage anomaly</v>
      </c>
      <c r="C14" t="str">
        <f t="shared" si="1"/>
        <v>MySQL memory peak usage anomalyCommit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4" s="1">
        <v>45065.866226851853</v>
      </c>
      <c r="F14" s="1">
        <v>45068.18377314815</v>
      </c>
      <c r="G14" t="s">
        <v>10</v>
      </c>
      <c r="H14" s="1"/>
      <c r="I14" t="s">
        <v>21</v>
      </c>
      <c r="J14" t="s">
        <v>17</v>
      </c>
      <c r="K14" s="2" t="s">
        <v>13</v>
      </c>
      <c r="L14" s="2" t="s">
        <v>14</v>
      </c>
      <c r="M14" s="1">
        <v>45068.18377314815</v>
      </c>
      <c r="N14" t="s">
        <v>10</v>
      </c>
    </row>
    <row r="15" spans="1:15" x14ac:dyDescent="0.2">
      <c r="A15">
        <v>14</v>
      </c>
      <c r="B15" t="str">
        <f t="shared" si="0"/>
        <v>Robotshop Homepage - Functional verification failed</v>
      </c>
      <c r="C15" t="str">
        <f t="shared" si="1"/>
        <v>Robotshop Homepage - Functional verification failedCommit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5" s="1">
        <v>45066.866226851853</v>
      </c>
      <c r="F15" s="1">
        <v>45069.18377314815</v>
      </c>
      <c r="G15" t="s">
        <v>10</v>
      </c>
      <c r="H15" s="1"/>
      <c r="I15" t="s">
        <v>22</v>
      </c>
      <c r="J15" t="s">
        <v>17</v>
      </c>
      <c r="K15" s="2" t="s">
        <v>13</v>
      </c>
      <c r="L15" s="2" t="s">
        <v>14</v>
      </c>
      <c r="M15" s="1">
        <v>45069.18377314815</v>
      </c>
      <c r="N15" t="s">
        <v>10</v>
      </c>
    </row>
    <row r="16" spans="1:15" x14ac:dyDescent="0.2">
      <c r="A16">
        <v>15</v>
      </c>
      <c r="B16" t="str">
        <f t="shared" si="0"/>
        <v>Ratings Service outage after K8s Node Failure</v>
      </c>
      <c r="C16" t="str">
        <f t="shared" si="1"/>
        <v>Ratings Service outage after K8s Node FailureCommit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innodb_buffer_pool_size too low
      - MySQL Database is restarting/killed with OutOfMemory status. 
      - Ratings Pod is unable to access database. 
      - After correction, ratings Pod is unable to pick up the restart and has to be restarted as well. 
_ Resolved by adapting MySQL innodb_buffer_pool_size and restarting ratings pods.
__ Runbook:
      Increase innodb_buffer_pool_size for mysql - check with DEV to correct GIT Commit
      oc delete pod -n robot-shop $(oc get po -n robot-shop|grep ratings|awk '{print$1}'</v>
      </c>
      <c r="E16" s="1">
        <v>45067.866226851853</v>
      </c>
      <c r="F16" s="1">
        <v>45070.18377314815</v>
      </c>
      <c r="G16" t="s">
        <v>10</v>
      </c>
      <c r="H16" s="1"/>
      <c r="I16" t="s">
        <v>23</v>
      </c>
      <c r="J16" t="s">
        <v>17</v>
      </c>
      <c r="K16" s="2" t="s">
        <v>13</v>
      </c>
      <c r="L16" s="2" t="s">
        <v>14</v>
      </c>
      <c r="M16" s="1">
        <v>45070.18377314815</v>
      </c>
      <c r="N16" t="s">
        <v>10</v>
      </c>
    </row>
    <row r="17" spans="1:14" x14ac:dyDescent="0.2">
      <c r="A17">
        <v>16</v>
      </c>
      <c r="B17" t="str">
        <f t="shared" si="0"/>
        <v>MySQL - available replicas is less than desired replicas - Check conditions and error events</v>
      </c>
      <c r="C17" t="str">
        <f t="shared" si="1"/>
        <v>MySQL - available replicas is less than desired replicas - Check conditions and error eventsCommit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Deployment Limits too low
      - MySQL Pod is restarting/killed with OoutOfMemory status. 
      - Ratings Pod is unable to access database. 
      - After correction, ratings Pod is unable to pick up the restart and has to be restarted as well. 
_ Resolved by adapting mysql deployment resource limits and restarting ratings pods.
__ Runbook:
      Increase resource limits for mysql Deployment - check with DEV to correct GIT Commit
      oc delete pod -n robot-shop $(oc get po -n robot-shop|grep ratings|awk '{print$1}'</v>
      </c>
      <c r="E17" s="1">
        <v>45070.866226851853</v>
      </c>
      <c r="F17" s="1">
        <v>45073.18377314815</v>
      </c>
      <c r="G17" t="s">
        <v>10</v>
      </c>
      <c r="H17" s="1"/>
      <c r="I17" t="s">
        <v>24</v>
      </c>
      <c r="J17" t="s">
        <v>17</v>
      </c>
      <c r="K17" s="2" t="s">
        <v>13</v>
      </c>
      <c r="L17" s="2" t="s">
        <v>25</v>
      </c>
      <c r="M17" s="1">
        <v>45073.18377314815</v>
      </c>
      <c r="N17" t="s">
        <v>10</v>
      </c>
    </row>
    <row r="18" spans="1:14" x14ac:dyDescent="0.2">
      <c r="A18">
        <v>17</v>
      </c>
      <c r="B18" t="str">
        <f t="shared" si="0"/>
        <v>Robotshop Homepage call rate is too high- Robotshop call rate stays at a high level for an extended period of time</v>
      </c>
      <c r="C18" t="str">
        <f t="shared" si="1"/>
        <v>Robotshop Homepage call rate is too high- Robotshop call rate stays at a high level for an extended period of timeCommit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Deployment Limits too low
      - MySQL Pod is restarting/killed with OoutOfMemory status. 
      - Ratings Pod is unable to access database. 
      - After correction, ratings Pod is unable to pick up the restart and has to be restarted as well. 
_ Resolved by adapting mysql deployment resource limits and restarting ratings pods.
__ Runbook:
      Increase resource limits for mysql Deployment - check with DEV to correct GIT Commit
      oc delete pod -n robot-shop $(oc get po -n robot-shop|grep ratings|awk '{print$1}'</v>
      </c>
      <c r="E18" s="1">
        <v>45071.866226851853</v>
      </c>
      <c r="F18" s="1">
        <v>45074.18377314815</v>
      </c>
      <c r="G18" t="s">
        <v>10</v>
      </c>
      <c r="H18" s="1"/>
      <c r="I18" t="s">
        <v>26</v>
      </c>
      <c r="J18" t="s">
        <v>17</v>
      </c>
      <c r="K18" s="2" t="s">
        <v>13</v>
      </c>
      <c r="L18" s="2" t="s">
        <v>25</v>
      </c>
      <c r="M18" s="1">
        <v>45074.18377314815</v>
      </c>
      <c r="N18" t="s">
        <v>10</v>
      </c>
    </row>
    <row r="19" spans="1:14" x14ac:dyDescent="0.2">
      <c r="A19">
        <v>18</v>
      </c>
      <c r="B19" t="str">
        <f t="shared" si="0"/>
        <v>&lt;*&gt; stdout F &lt;*&gt; - - [&lt;*&gt;/May/&lt;*&gt;:&lt;*&gt;:&lt;*&gt;:&lt;*&gt; &lt;*&gt;] &lt;*&gt;</v>
      </c>
      <c r="C19" t="str">
        <f t="shared" si="1"/>
        <v>&lt;*&gt; stdout F &lt;*&gt; - - [&lt;*&gt;/May/&lt;*&gt;:&lt;*&gt;:&lt;*&gt;:&lt;*&gt; &lt;*&gt;] &lt;*&gt;Commit in repository robot-shop by Niklaus Hirt on file robot-shop.yaml - New Memory Limits__ Checked GIT Commit - a massive reduction in innodb_buffer_pool_size has been commited by DEV on the /etc/my.cnf file
_ Check with DEV to adapt GIT Commit_ Cause: GIT Commit set the MySQL Deployment Limits too low
      - MySQL Pod is restarting/killed with OoutOfMemory status. 
      - Ratings Pod is unable to access database. 
      - After correction, ratings Pod is unable to pick up the restart and has to be restarted as well. 
_ Resolved by adapting mysql deployment resource limits and restarting ratings pods.
__ Runbook:
      Increase resource limits for mysql Deployment - check with DEV to correct GIT Commit
      oc delete pod -n robot-shop $(oc get po -n robot-shop|grep ratings|awk '{print$1}'</v>
      </c>
      <c r="E19" s="1">
        <v>45074.866226851853</v>
      </c>
      <c r="F19" s="1">
        <v>45077.18377314815</v>
      </c>
      <c r="G19" t="s">
        <v>10</v>
      </c>
      <c r="H19" s="1"/>
      <c r="I19" t="s">
        <v>27</v>
      </c>
      <c r="J19" t="s">
        <v>17</v>
      </c>
      <c r="K19" s="2" t="s">
        <v>13</v>
      </c>
      <c r="L19" s="2" t="s">
        <v>25</v>
      </c>
      <c r="M19" s="1">
        <v>45077.18377314815</v>
      </c>
      <c r="N19" t="s">
        <v>10</v>
      </c>
    </row>
    <row r="20" spans="1:14" x14ac:dyDescent="0.2">
      <c r="A20">
        <v>19</v>
      </c>
      <c r="B20" t="str">
        <f t="shared" si="0"/>
        <v>vSphere Switch Outage: dcwest1-switch023</v>
      </c>
      <c r="C20" t="str">
        <f t="shared" si="1"/>
        <v>vSphere Switch Outage: dcwest1-switch023vSphere Switch Outage: dcwest1-switch023__ Cause: Switch DCWest1-Switch023 had an short outage.
_ vSphere Switch dcwest1-switch023 - Port1 unavailable
__ Resolved by rebooting the port._ Cause: Switch DCWest1-Switch023 had an short outage.
- _ vSphere Switch dcwest1-switch023 - Port1 unavailable
- Port1 for MySQL Database unavailable.
- Ratings Pod is unable to restart reliably after MySQL outage. 
- MySQL Pod is in CrashLoopBackoff state and has to be restarted. 
- Ratings Service is unable to pick up the restart and has to be restarted as well. 
_ Resolved by rebooting the port.
__ Runbook:
oc delete pod -n robot-shop $(oc get po -n robot-shop|grep mysql|awk '{print$1}'
oc delete pod -n robot-shop $(oc get po -n robot-shop|grep ratings|awk '{print$1}'</v>
      </c>
      <c r="E20" s="1">
        <v>45069.866226851853</v>
      </c>
      <c r="F20" s="1">
        <v>45072.18377314815</v>
      </c>
      <c r="G20" t="s">
        <v>10</v>
      </c>
      <c r="H20" s="1"/>
      <c r="I20" t="s">
        <v>28</v>
      </c>
      <c r="J20" t="s">
        <v>28</v>
      </c>
      <c r="K20" s="2" t="s">
        <v>29</v>
      </c>
      <c r="L20" s="2" t="s">
        <v>30</v>
      </c>
      <c r="M20" s="1">
        <v>45072.18377314815</v>
      </c>
      <c r="N20" t="s">
        <v>10</v>
      </c>
    </row>
    <row r="21" spans="1:14" x14ac:dyDescent="0.2">
      <c r="A21">
        <v>20</v>
      </c>
      <c r="B21" t="str">
        <f t="shared" si="0"/>
        <v>Server failure after Fan outage</v>
      </c>
      <c r="C21" t="str">
        <f t="shared" si="1"/>
        <v>Server failure after Fan outageBlade DCWest1-Rack045-DELL3762 is overheating and shutting down.__  Cause: Rack Fan had an outage.
- Blade is overheating and shutting down.
- vSphere Host becomes unavailable.
- K8s node becomes unavailable.
- Ratings Pod is unable to restart reliably after K8s Node outage.
- MySQL Pod is in CrashLoopBackoff state and has to be restarted.
- Ratings Service is unable to pick up the restart and has to be restarted as well._ Cause: Rack Fan had an outage.
- Blade is overheating and shutting down.
- vSphere Host becomes unavailable.
- K8s node becomes unavailable.
- Ratings Pod is unable to restart reliably after K8s Node outage. 
- MySQL Pod is in CrashLoopBackoff state and has to be restarted. 
- Ratings Service is unable to pick up the restart and has to be restarted as well. 
_ Resolved by replacing the rack fan.
__ Runbook:
oc delete pod -n robot-shop $(oc get po -n robot-shop|grep mysql|awk '{print$1}'
oc delete pod -n robot-shop $(oc get po -n robot-shop|grep ratings|awk '{print$1}'</v>
      </c>
      <c r="E21" s="1">
        <v>45068.866226851853</v>
      </c>
      <c r="F21" s="1">
        <v>45071.18377314815</v>
      </c>
      <c r="G21" t="s">
        <v>10</v>
      </c>
      <c r="H21" s="1"/>
      <c r="I21" t="s">
        <v>31</v>
      </c>
      <c r="J21" t="s">
        <v>32</v>
      </c>
      <c r="K21" s="2" t="s">
        <v>33</v>
      </c>
      <c r="L21" s="2" t="s">
        <v>34</v>
      </c>
      <c r="M21" s="1">
        <v>45071.18377314815</v>
      </c>
      <c r="N21" t="s">
        <v>10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import_incidents_new_GIT (2)</vt:lpstr>
      <vt:lpstr>Sheet2</vt:lpstr>
      <vt:lpstr>import_incidents_new_GIT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Niklaus Hirt</cp:lastModifiedBy>
  <dcterms:created xsi:type="dcterms:W3CDTF">2025-10-15T08:56:28Z</dcterms:created>
  <dcterms:modified xsi:type="dcterms:W3CDTF">2025-10-15T08:59:36Z</dcterms:modified>
</cp:coreProperties>
</file>